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Assignments-Entry\Excel Assignments\"/>
    </mc:Choice>
  </mc:AlternateContent>
  <xr:revisionPtr revIDLastSave="0" documentId="13_ncr:1_{F53A5EEA-206F-4DCA-B154-6C775B34D2E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nstructions" sheetId="1" r:id="rId1"/>
    <sheet name="Datase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Q3" i="3" l="1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2" i="3" a="1"/>
  <c r="I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<sst xmlns="http://schemas.openxmlformats.org/spreadsheetml/2006/main" count="357" uniqueCount="138">
  <si>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</si>
  <si>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</si>
  <si>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</si>
  <si>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</si>
  <si>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</si>
  <si>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</si>
  <si>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</si>
  <si>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</si>
  <si>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</si>
  <si>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</si>
  <si>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</si>
  <si>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</si>
  <si>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</si>
  <si>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</si>
  <si>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</si>
  <si>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</si>
  <si>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</si>
  <si>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</si>
  <si>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</si>
  <si>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</si>
  <si>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</si>
  <si>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</si>
  <si>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</si>
  <si>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</si>
  <si>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</si>
  <si>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</si>
  <si>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</si>
  <si>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</si>
  <si>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</si>
  <si>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</si>
  <si>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</si>
  <si>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</si>
  <si>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</si>
  <si>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</si>
  <si>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</si>
  <si>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</si>
  <si>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</si>
  <si>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</si>
  <si>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</si>
  <si>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</si>
  <si>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</si>
  <si>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</si>
  <si>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</si>
  <si>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</si>
  <si>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</si>
  <si>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</si>
  <si>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</si>
  <si>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</si>
  <si>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</si>
  <si>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</si>
  <si>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</si>
  <si>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</si>
  <si>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</si>
  <si>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</si>
  <si>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</si>
  <si>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</si>
  <si>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</si>
  <si>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</si>
  <si>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</si>
  <si>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</si>
  <si>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</si>
  <si>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</si>
  <si>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</si>
  <si>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</si>
  <si>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</si>
  <si>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</si>
  <si>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</si>
  <si>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</si>
  <si>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</si>
  <si>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</si>
  <si>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</si>
  <si>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</si>
  <si>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</si>
  <si>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</si>
  <si>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</si>
  <si>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</si>
  <si>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</si>
  <si>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</si>
  <si>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</si>
  <si>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</si>
  <si>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</si>
  <si>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</si>
  <si>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</si>
  <si>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</si>
  <si>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</si>
  <si>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</si>
  <si>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</si>
  <si>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</si>
  <si>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</si>
  <si>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</si>
  <si>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</si>
  <si>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</si>
  <si>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</si>
  <si>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</si>
  <si>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</si>
  <si>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</si>
  <si>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</si>
  <si>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</si>
  <si>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</si>
  <si>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</si>
  <si>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</si>
  <si>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</si>
  <si>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</si>
  <si>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</si>
  <si>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</si>
  <si>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</si>
  <si>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</si>
  <si>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</si>
  <si>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</si>
  <si>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</si>
  <si>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</si>
  <si>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</si>
  <si>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</si>
  <si>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</si>
  <si>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</si>
  <si>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</si>
  <si>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Mising Values</t>
  </si>
  <si>
    <t>Handling Process of Missing Value</t>
  </si>
  <si>
    <t>Price Impute</t>
  </si>
  <si>
    <t>Proper(),Clean(),Trim()</t>
  </si>
  <si>
    <t>Consistent/Inconsistent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</si>
  <si>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</si>
  <si>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</si>
  <si>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</si>
  <si>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</si>
  <si>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</si>
  <si>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</si>
  <si>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</si>
  <si>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</si>
  <si>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</si>
  <si>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</si>
  <si>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</si>
  <si>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</si>
  <si>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</si>
  <si>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</si>
  <si>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Product Brand</t>
  </si>
  <si>
    <t>Currency Fomrat</t>
  </si>
  <si>
    <t xml:space="preserve">1)Replacing Missing values with "unknown"
2) Can use Mean, Median or Mode
3) If the blank value not affecting the file, we may remove the column or raw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</si>
</sst>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theme="0"/>
        <bgColor rgb="FFE0F7F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 applyAlignment="1"/>
    <xf numFmtId="0" fontId="7" fillId="2" borderId="0" xfId="0" applyFont="1" applyFill="1" applyAlignment="1">
      <alignment horizontal="center"/>
    </xf>
    <xf numFmtId="0" fontId="5" fillId="0" borderId="0" xfId="0" applyFont="1"/>
    <xf numFmtId="0" fontId="5" fillId="3" borderId="0" xfId="0" applyFont="1" applyFill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6" fontId="0" fillId="0" borderId="1" xfId="0" applyNumberFormat="1" applyFont="1" applyBorder="1" applyAlignment="1">
      <alignment horizontal="center" vertical="center"/>
    </xf>
    <xf numFmtId="8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8" fontId="5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8" sqref="C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5" t="s">
        <v>10</v>
      </c>
      <c r="C15" s="6"/>
      <c r="D15" s="6"/>
      <c r="E15" s="6"/>
      <c r="F15" s="6"/>
      <c r="G15" s="6"/>
      <c r="H15" s="6"/>
      <c r="I15" s="6"/>
      <c r="J15" s="6"/>
      <c r="K15" s="6"/>
    </row>
    <row r="16" spans="1:11" ht="15.75" customHeight="1" x14ac:dyDescent="0.25">
      <c r="B16" s="6"/>
      <c r="C16" s="7" t="s">
        <v>11</v>
      </c>
      <c r="D16" s="6"/>
      <c r="E16" s="6"/>
      <c r="F16" s="6"/>
      <c r="G16" s="6"/>
      <c r="H16" s="6"/>
      <c r="I16" s="6"/>
      <c r="J16" s="6"/>
      <c r="K16" s="6"/>
    </row>
    <row r="17" spans="2:11" ht="15.75" customHeight="1" x14ac:dyDescent="0.25">
      <c r="B17" s="6"/>
      <c r="C17" s="7" t="s">
        <v>12</v>
      </c>
      <c r="D17" s="6"/>
      <c r="E17" s="6"/>
      <c r="F17" s="6"/>
      <c r="G17" s="6"/>
      <c r="H17" s="6"/>
      <c r="I17" s="6"/>
      <c r="J17" s="6"/>
      <c r="K17" s="6"/>
    </row>
    <row r="18" spans="2:11" ht="15.75" customHeight="1" x14ac:dyDescent="0.2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2:11" ht="15.75" customHeight="1" x14ac:dyDescent="0.25">
      <c r="B19" s="5" t="s">
        <v>13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75" customHeight="1" x14ac:dyDescent="0.25">
      <c r="B20" s="6"/>
      <c r="C20" s="7" t="s">
        <v>14</v>
      </c>
      <c r="D20" s="6"/>
      <c r="E20" s="6"/>
      <c r="F20" s="6"/>
      <c r="G20" s="6"/>
      <c r="H20" s="6"/>
      <c r="I20" s="6"/>
      <c r="J20" s="6"/>
      <c r="K20" s="6"/>
    </row>
    <row r="21" spans="2:11" ht="15.75" customHeight="1" x14ac:dyDescent="0.25">
      <c r="B21" s="6"/>
      <c r="C21" s="7" t="s">
        <v>15</v>
      </c>
      <c r="D21" s="6"/>
      <c r="E21" s="6"/>
      <c r="F21" s="6"/>
      <c r="G21" s="6"/>
      <c r="H21" s="6"/>
      <c r="I21" s="6"/>
      <c r="J21" s="6"/>
      <c r="K21" s="6"/>
    </row>
    <row r="22" spans="2:11" ht="15.75" customHeight="1" x14ac:dyDescent="0.2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2:11" ht="15.75" customHeight="1" x14ac:dyDescent="0.25">
      <c r="B23" s="5" t="s">
        <v>16</v>
      </c>
      <c r="C23" s="6"/>
      <c r="D23" s="6"/>
      <c r="E23" s="6"/>
      <c r="F23" s="6"/>
      <c r="G23" s="6"/>
      <c r="H23" s="6"/>
      <c r="I23" s="6"/>
      <c r="J23" s="6"/>
      <c r="K23" s="6"/>
    </row>
    <row r="24" spans="2:11" ht="15.75" customHeight="1" x14ac:dyDescent="0.25">
      <c r="B24" s="6"/>
      <c r="C24" s="7" t="s">
        <v>17</v>
      </c>
      <c r="D24" s="6"/>
      <c r="E24" s="6"/>
      <c r="F24" s="6"/>
      <c r="G24" s="6"/>
      <c r="H24" s="6"/>
      <c r="I24" s="6"/>
      <c r="J24" s="6"/>
      <c r="K24" s="6"/>
    </row>
    <row r="25" spans="2:11" ht="15.75" customHeight="1" x14ac:dyDescent="0.25">
      <c r="B25" s="6"/>
      <c r="C25" s="7" t="s">
        <v>18</v>
      </c>
      <c r="D25" s="6"/>
      <c r="E25" s="6"/>
      <c r="F25" s="6"/>
      <c r="G25" s="6"/>
      <c r="H25" s="6"/>
      <c r="I25" s="6"/>
      <c r="J25" s="6"/>
      <c r="K25" s="6"/>
    </row>
    <row r="26" spans="2:11" ht="15.75" customHeight="1" x14ac:dyDescent="0.25">
      <c r="B26" s="6"/>
      <c r="C26" s="7"/>
      <c r="D26" s="6"/>
      <c r="E26" s="6"/>
      <c r="F26" s="6"/>
      <c r="G26" s="6"/>
      <c r="H26" s="6"/>
      <c r="I26" s="6"/>
      <c r="J26" s="6"/>
      <c r="K26" s="6"/>
    </row>
    <row r="27" spans="2:11" ht="15.75" customHeight="1" x14ac:dyDescent="0.25">
      <c r="B27" s="6"/>
      <c r="C27" s="6"/>
      <c r="D27" s="8"/>
      <c r="E27" s="6"/>
      <c r="F27" s="6"/>
      <c r="G27" s="6"/>
      <c r="H27" s="6"/>
      <c r="I27" s="6"/>
      <c r="J27" s="6"/>
      <c r="K27" s="6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customFormat="1" ht="15.75" customHeight="1" x14ac:dyDescent="0.2"/>
    <row r="34" customFormat="1" ht="15.75" customHeight="1" x14ac:dyDescent="0.2"/>
    <row r="35" customFormat="1" ht="15.75" customHeight="1" x14ac:dyDescent="0.2"/>
    <row r="36" customFormat="1" ht="15.75" customHeight="1" x14ac:dyDescent="0.2"/>
    <row r="37" customFormat="1" ht="15.75" customHeight="1" x14ac:dyDescent="0.2"/>
    <row r="38" customFormat="1" ht="15.75" customHeight="1" x14ac:dyDescent="0.2"/>
    <row r="39" customFormat="1" ht="15.75" customHeight="1" x14ac:dyDescent="0.2"/>
    <row r="40" customFormat="1" ht="15.75" customHeight="1" x14ac:dyDescent="0.2"/>
    <row r="41" customFormat="1" ht="15.75" customHeight="1" x14ac:dyDescent="0.2"/>
    <row r="42" customFormat="1" ht="15.75" customHeight="1" x14ac:dyDescent="0.2"/>
    <row r="43" customFormat="1" ht="15.75" customHeight="1" x14ac:dyDescent="0.2"/>
    <row r="44" customFormat="1" ht="15.75" customHeight="1" x14ac:dyDescent="0.2"/>
    <row r="45" customFormat="1" ht="15.75" customHeight="1" x14ac:dyDescent="0.2"/>
    <row r="46" customFormat="1" ht="15.75" customHeight="1" x14ac:dyDescent="0.2"/>
    <row r="47" customFormat="1" ht="15.75" customHeight="1" x14ac:dyDescent="0.2"/>
    <row r="48" customFormat="1" ht="15.75" customHeight="1" x14ac:dyDescent="0.2"/>
    <row r="49" customFormat="1" ht="15.75" customHeight="1" x14ac:dyDescent="0.2"/>
    <row r="50" customFormat="1" ht="15.75" customHeight="1" x14ac:dyDescent="0.2"/>
    <row r="51" customFormat="1" ht="15.75" customHeight="1" x14ac:dyDescent="0.2"/>
    <row r="52" customFormat="1" ht="15.75" customHeight="1" x14ac:dyDescent="0.2"/>
    <row r="53" customFormat="1" ht="15.75" customHeight="1" x14ac:dyDescent="0.2"/>
    <row r="54" customFormat="1" ht="15.75" customHeight="1" x14ac:dyDescent="0.2"/>
    <row r="55" customFormat="1" ht="15.75" customHeight="1" x14ac:dyDescent="0.2"/>
    <row r="56" customFormat="1" ht="15.75" customHeight="1" x14ac:dyDescent="0.2"/>
    <row r="57" customFormat="1" ht="15.75" customHeight="1" x14ac:dyDescent="0.2"/>
    <row r="58" customFormat="1" ht="15.75" customHeight="1" x14ac:dyDescent="0.2"/>
    <row r="59" customFormat="1" ht="15.75" customHeight="1" x14ac:dyDescent="0.2"/>
    <row r="60" customFormat="1" ht="15.75" customHeight="1" x14ac:dyDescent="0.2"/>
    <row r="61" customFormat="1" ht="15.75" customHeight="1" x14ac:dyDescent="0.2"/>
    <row r="62" customFormat="1" ht="15.75" customHeight="1" x14ac:dyDescent="0.2"/>
    <row r="63" customFormat="1" ht="15.75" customHeight="1" x14ac:dyDescent="0.2"/>
    <row r="64" customFormat="1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15" workbookViewId="0">
      <selection sqref="A1:F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  <c r="F1" s="9" t="s">
        <v>24</v>
      </c>
    </row>
    <row r="2" spans="1:16" ht="15.75" customHeight="1" x14ac:dyDescent="0.2">
      <c r="A2" s="10" t="s">
        <v>25</v>
      </c>
      <c r="B2" s="10" t="s">
        <v>26</v>
      </c>
      <c r="C2" s="10" t="s">
        <v>27</v>
      </c>
      <c r="D2" s="10">
        <v>1000</v>
      </c>
      <c r="E2" s="10">
        <v>30</v>
      </c>
      <c r="F2" s="10" t="s">
        <v>28</v>
      </c>
    </row>
    <row r="3" spans="1:16" ht="15.75" customHeight="1" x14ac:dyDescent="0.25">
      <c r="A3" s="11" t="s">
        <v>29</v>
      </c>
      <c r="B3" s="11" t="s">
        <v>30</v>
      </c>
      <c r="C3" s="11" t="s">
        <v>31</v>
      </c>
      <c r="D3" s="11">
        <v>80</v>
      </c>
      <c r="E3" s="11">
        <v>15</v>
      </c>
      <c r="F3" s="11" t="s">
        <v>32</v>
      </c>
      <c r="I3" s="5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10" t="s">
        <v>33</v>
      </c>
      <c r="B4" s="10" t="s">
        <v>34</v>
      </c>
      <c r="C4" s="10" t="s">
        <v>35</v>
      </c>
      <c r="D4" s="10">
        <v>130</v>
      </c>
      <c r="E4" s="10">
        <v>40</v>
      </c>
      <c r="F4" s="10" t="s">
        <v>36</v>
      </c>
      <c r="I4" s="6"/>
      <c r="J4" s="7"/>
      <c r="K4" s="6"/>
      <c r="L4" s="6"/>
      <c r="M4" s="6"/>
      <c r="N4" s="6"/>
      <c r="O4" s="6"/>
      <c r="P4" s="6"/>
    </row>
    <row r="5" spans="1:16" ht="15.75" customHeight="1" x14ac:dyDescent="0.25">
      <c r="A5" s="11" t="s">
        <v>37</v>
      </c>
      <c r="B5" s="11" t="s">
        <v>38</v>
      </c>
      <c r="C5" s="11" t="s">
        <v>39</v>
      </c>
      <c r="D5" s="11">
        <v>900</v>
      </c>
      <c r="E5" s="11">
        <v>25</v>
      </c>
      <c r="F5" s="11" t="s">
        <v>28</v>
      </c>
      <c r="I5" s="6"/>
      <c r="J5" s="7"/>
      <c r="K5" s="6"/>
      <c r="L5" s="6"/>
      <c r="M5" s="6"/>
      <c r="N5" s="6"/>
      <c r="O5" s="6"/>
      <c r="P5" s="6"/>
    </row>
    <row r="6" spans="1:16" ht="15.75" customHeight="1" x14ac:dyDescent="0.2">
      <c r="A6" s="10" t="s">
        <v>40</v>
      </c>
      <c r="B6" s="10" t="s">
        <v>41</v>
      </c>
      <c r="C6" s="10" t="s">
        <v>42</v>
      </c>
      <c r="D6" s="10">
        <v>70</v>
      </c>
      <c r="E6" s="10">
        <v>20</v>
      </c>
      <c r="F6" s="10"/>
    </row>
    <row r="7" spans="1:16" ht="15.75" customHeight="1" x14ac:dyDescent="0.2">
      <c r="A7" s="11" t="s">
        <v>43</v>
      </c>
      <c r="B7" s="11" t="s">
        <v>44</v>
      </c>
      <c r="C7" s="11" t="s">
        <v>45</v>
      </c>
      <c r="D7" s="11"/>
      <c r="E7" s="11">
        <v>45</v>
      </c>
      <c r="F7" s="11" t="s">
        <v>46</v>
      </c>
    </row>
    <row r="8" spans="1:16" ht="15.75" customHeight="1" x14ac:dyDescent="0.2">
      <c r="A8" s="10" t="s">
        <v>47</v>
      </c>
      <c r="B8" s="10" t="s">
        <v>48</v>
      </c>
      <c r="C8" s="10" t="s">
        <v>49</v>
      </c>
      <c r="D8" s="10">
        <v>30</v>
      </c>
      <c r="E8" s="10">
        <v>5</v>
      </c>
      <c r="F8" s="10" t="s">
        <v>32</v>
      </c>
    </row>
    <row r="9" spans="1:16" ht="15.75" customHeight="1" x14ac:dyDescent="0.2">
      <c r="A9" s="11" t="s">
        <v>50</v>
      </c>
      <c r="B9" s="11" t="s">
        <v>51</v>
      </c>
      <c r="C9" s="11" t="s">
        <v>52</v>
      </c>
      <c r="D9" s="11">
        <v>90</v>
      </c>
      <c r="E9" s="11">
        <v>35</v>
      </c>
      <c r="F9" s="11" t="s">
        <v>36</v>
      </c>
    </row>
    <row r="10" spans="1:16" ht="15.75" customHeight="1" x14ac:dyDescent="0.2">
      <c r="A10" s="10" t="s">
        <v>53</v>
      </c>
      <c r="B10" s="10" t="s">
        <v>54</v>
      </c>
      <c r="C10" s="10" t="s">
        <v>55</v>
      </c>
      <c r="D10" s="10">
        <v>500</v>
      </c>
      <c r="E10" s="10">
        <v>50</v>
      </c>
      <c r="F10" s="10" t="s">
        <v>28</v>
      </c>
    </row>
    <row r="11" spans="1:16" ht="15.75" customHeight="1" x14ac:dyDescent="0.2">
      <c r="A11" s="11" t="s">
        <v>56</v>
      </c>
      <c r="B11" s="11" t="s">
        <v>57</v>
      </c>
      <c r="C11" s="11" t="s">
        <v>58</v>
      </c>
      <c r="D11" s="11">
        <v>130</v>
      </c>
      <c r="E11" s="11">
        <v>10</v>
      </c>
      <c r="F11" s="11" t="s">
        <v>59</v>
      </c>
    </row>
    <row r="12" spans="1:16" ht="15.75" customHeight="1" x14ac:dyDescent="0.2">
      <c r="A12" s="10" t="s">
        <v>60</v>
      </c>
      <c r="B12" s="10" t="s">
        <v>61</v>
      </c>
      <c r="C12" s="10" t="s">
        <v>62</v>
      </c>
      <c r="D12" s="10">
        <v>950</v>
      </c>
      <c r="E12" s="10">
        <v>25</v>
      </c>
      <c r="F12" s="10" t="s">
        <v>28</v>
      </c>
    </row>
    <row r="13" spans="1:16" ht="15.75" customHeight="1" x14ac:dyDescent="0.2">
      <c r="A13" s="11" t="s">
        <v>63</v>
      </c>
      <c r="B13" s="11" t="s">
        <v>30</v>
      </c>
      <c r="C13" s="11" t="s">
        <v>49</v>
      </c>
      <c r="D13" s="11">
        <v>90</v>
      </c>
      <c r="E13" s="11">
        <v>40</v>
      </c>
      <c r="F13" s="11"/>
    </row>
    <row r="14" spans="1:16" ht="15.75" customHeight="1" x14ac:dyDescent="0.2">
      <c r="A14" s="10" t="s">
        <v>64</v>
      </c>
      <c r="B14" s="10" t="s">
        <v>34</v>
      </c>
      <c r="C14" s="10" t="s">
        <v>65</v>
      </c>
      <c r="D14" s="10">
        <v>120</v>
      </c>
      <c r="E14" s="10">
        <v>35</v>
      </c>
      <c r="F14" s="10"/>
    </row>
    <row r="15" spans="1:16" ht="15.75" customHeight="1" x14ac:dyDescent="0.2">
      <c r="A15" s="11" t="s">
        <v>66</v>
      </c>
      <c r="B15" s="11" t="s">
        <v>67</v>
      </c>
      <c r="C15" s="11" t="s">
        <v>68</v>
      </c>
      <c r="D15" s="11">
        <v>150</v>
      </c>
      <c r="E15" s="11">
        <v>15</v>
      </c>
      <c r="F15" s="11" t="s">
        <v>46</v>
      </c>
    </row>
    <row r="16" spans="1:16" ht="15.75" customHeight="1" x14ac:dyDescent="0.2">
      <c r="A16" s="10" t="s">
        <v>69</v>
      </c>
      <c r="B16" s="10" t="s">
        <v>70</v>
      </c>
      <c r="C16" s="10" t="s">
        <v>71</v>
      </c>
      <c r="D16" s="10">
        <v>250</v>
      </c>
      <c r="E16" s="10">
        <v>20</v>
      </c>
      <c r="F16" s="10" t="s">
        <v>46</v>
      </c>
    </row>
    <row r="17" spans="1:6" ht="15.75" customHeight="1" x14ac:dyDescent="0.2">
      <c r="A17" s="11" t="s">
        <v>72</v>
      </c>
      <c r="B17" s="11" t="s">
        <v>73</v>
      </c>
      <c r="C17" s="11" t="s">
        <v>74</v>
      </c>
      <c r="D17" s="11">
        <v>50</v>
      </c>
      <c r="E17" s="11">
        <v>35</v>
      </c>
      <c r="F17" s="11" t="s">
        <v>75</v>
      </c>
    </row>
    <row r="18" spans="1:6" ht="15.75" customHeight="1" x14ac:dyDescent="0.2">
      <c r="A18" s="10" t="s">
        <v>76</v>
      </c>
      <c r="B18" s="10" t="s">
        <v>67</v>
      </c>
      <c r="C18" s="10" t="s">
        <v>77</v>
      </c>
      <c r="D18" s="10">
        <v>160</v>
      </c>
      <c r="E18" s="10">
        <v>15</v>
      </c>
      <c r="F18" s="10" t="s">
        <v>46</v>
      </c>
    </row>
    <row r="19" spans="1:6" ht="15.75" customHeight="1" x14ac:dyDescent="0.2">
      <c r="A19" s="11" t="s">
        <v>78</v>
      </c>
      <c r="B19" s="11" t="s">
        <v>26</v>
      </c>
      <c r="C19" s="11" t="s">
        <v>79</v>
      </c>
      <c r="D19" s="11">
        <v>980</v>
      </c>
      <c r="E19" s="11">
        <v>10</v>
      </c>
      <c r="F19" s="11" t="s">
        <v>28</v>
      </c>
    </row>
    <row r="20" spans="1:6" ht="15.75" customHeight="1" x14ac:dyDescent="0.2">
      <c r="A20" s="10" t="s">
        <v>80</v>
      </c>
      <c r="B20" s="10" t="s">
        <v>81</v>
      </c>
      <c r="C20" s="10" t="s">
        <v>82</v>
      </c>
      <c r="D20" s="10">
        <v>150</v>
      </c>
      <c r="E20" s="10">
        <v>15</v>
      </c>
      <c r="F20" s="10" t="s">
        <v>32</v>
      </c>
    </row>
    <row r="21" spans="1:6" ht="15.75" customHeight="1" x14ac:dyDescent="0.2">
      <c r="A21" s="11" t="s">
        <v>83</v>
      </c>
      <c r="B21" s="11" t="s">
        <v>84</v>
      </c>
      <c r="C21" s="11" t="s">
        <v>85</v>
      </c>
      <c r="D21" s="11"/>
      <c r="E21" s="11">
        <v>10</v>
      </c>
      <c r="F21" s="11" t="s">
        <v>59</v>
      </c>
    </row>
    <row r="22" spans="1:6" ht="15.75" customHeight="1" x14ac:dyDescent="0.2">
      <c r="A22" s="10" t="s">
        <v>86</v>
      </c>
      <c r="B22" s="10" t="s">
        <v>87</v>
      </c>
      <c r="C22" s="10" t="s">
        <v>88</v>
      </c>
      <c r="D22" s="10">
        <v>700</v>
      </c>
      <c r="E22" s="10">
        <v>50</v>
      </c>
      <c r="F22" s="10" t="s">
        <v>28</v>
      </c>
    </row>
    <row r="23" spans="1:6" ht="15.75" customHeight="1" x14ac:dyDescent="0.2">
      <c r="A23" s="11" t="s">
        <v>89</v>
      </c>
      <c r="B23" s="11" t="s">
        <v>90</v>
      </c>
      <c r="C23" s="11" t="s">
        <v>91</v>
      </c>
      <c r="D23" s="11">
        <v>80</v>
      </c>
      <c r="E23" s="11">
        <v>20</v>
      </c>
      <c r="F23" s="11" t="s">
        <v>36</v>
      </c>
    </row>
    <row r="24" spans="1:6" ht="15.75" customHeight="1" x14ac:dyDescent="0.2">
      <c r="A24" s="10" t="s">
        <v>92</v>
      </c>
      <c r="B24" s="10" t="s">
        <v>93</v>
      </c>
      <c r="C24" s="10" t="s">
        <v>94</v>
      </c>
      <c r="D24" s="10">
        <v>150</v>
      </c>
      <c r="E24" s="10">
        <v>30</v>
      </c>
      <c r="F24" s="10"/>
    </row>
    <row r="25" spans="1:6" ht="15.75" customHeight="1" x14ac:dyDescent="0.2">
      <c r="A25" s="11" t="s">
        <v>72</v>
      </c>
      <c r="B25" s="11" t="s">
        <v>73</v>
      </c>
      <c r="C25" s="11" t="s">
        <v>74</v>
      </c>
      <c r="D25" s="11">
        <v>50</v>
      </c>
      <c r="E25" s="11">
        <v>35</v>
      </c>
      <c r="F25" s="11" t="s">
        <v>75</v>
      </c>
    </row>
    <row r="26" spans="1:6" ht="15.75" customHeight="1" x14ac:dyDescent="0.2">
      <c r="A26" s="10" t="s">
        <v>95</v>
      </c>
      <c r="B26" s="10" t="s">
        <v>96</v>
      </c>
      <c r="C26" s="10" t="s">
        <v>97</v>
      </c>
      <c r="D26" s="10">
        <v>800</v>
      </c>
      <c r="E26" s="10">
        <v>45</v>
      </c>
      <c r="F26" s="10" t="s">
        <v>28</v>
      </c>
    </row>
    <row r="27" spans="1:6" ht="15.75" customHeight="1" x14ac:dyDescent="0.2">
      <c r="A27" s="11" t="s">
        <v>98</v>
      </c>
      <c r="B27" s="11" t="s">
        <v>81</v>
      </c>
      <c r="C27" s="11" t="s">
        <v>99</v>
      </c>
      <c r="D27" s="11"/>
      <c r="E27" s="11">
        <v>25</v>
      </c>
      <c r="F27" s="11" t="s">
        <v>32</v>
      </c>
    </row>
    <row r="28" spans="1:6" ht="15.75" customHeight="1" x14ac:dyDescent="0.2">
      <c r="A28" s="10" t="s">
        <v>100</v>
      </c>
      <c r="B28" s="10" t="s">
        <v>51</v>
      </c>
      <c r="C28" s="10" t="s">
        <v>101</v>
      </c>
      <c r="D28" s="10">
        <v>400</v>
      </c>
      <c r="E28" s="10">
        <v>40</v>
      </c>
      <c r="F28" s="10" t="s">
        <v>36</v>
      </c>
    </row>
    <row r="29" spans="1:6" ht="15.75" customHeight="1" x14ac:dyDescent="0.2">
      <c r="A29" s="11" t="s">
        <v>69</v>
      </c>
      <c r="B29" s="11" t="s">
        <v>70</v>
      </c>
      <c r="C29" s="11" t="s">
        <v>71</v>
      </c>
      <c r="D29" s="11">
        <v>250</v>
      </c>
      <c r="E29" s="11">
        <v>20</v>
      </c>
      <c r="F29" s="11" t="s">
        <v>46</v>
      </c>
    </row>
    <row r="30" spans="1:6" ht="15.75" customHeight="1" x14ac:dyDescent="0.2">
      <c r="A30" s="10" t="s">
        <v>102</v>
      </c>
      <c r="B30" s="10" t="s">
        <v>103</v>
      </c>
      <c r="C30" s="10" t="s">
        <v>104</v>
      </c>
      <c r="D30" s="10">
        <v>60</v>
      </c>
      <c r="E30" s="10">
        <v>30</v>
      </c>
      <c r="F30" s="10" t="s">
        <v>32</v>
      </c>
    </row>
    <row r="31" spans="1:6" ht="15.75" customHeight="1" x14ac:dyDescent="0.2">
      <c r="A31" s="11" t="s">
        <v>105</v>
      </c>
      <c r="B31" s="11" t="s">
        <v>106</v>
      </c>
      <c r="C31" s="11" t="s">
        <v>107</v>
      </c>
      <c r="D31" s="11">
        <v>40</v>
      </c>
      <c r="E31" s="11">
        <v>10</v>
      </c>
      <c r="F31" s="11" t="s">
        <v>36</v>
      </c>
    </row>
    <row r="32" spans="1:6" ht="15.75" customHeight="1" x14ac:dyDescent="0.2">
      <c r="A32" s="10" t="s">
        <v>108</v>
      </c>
      <c r="B32" s="10" t="s">
        <v>93</v>
      </c>
      <c r="C32" s="10" t="s">
        <v>109</v>
      </c>
      <c r="D32" s="10">
        <v>130</v>
      </c>
      <c r="E32" s="10">
        <v>5</v>
      </c>
      <c r="F32" s="10" t="s">
        <v>28</v>
      </c>
    </row>
    <row r="33" spans="1:6" ht="15.75" customHeight="1" x14ac:dyDescent="0.2">
      <c r="A33" s="11" t="s">
        <v>110</v>
      </c>
      <c r="B33" s="11" t="s">
        <v>111</v>
      </c>
      <c r="C33" s="11" t="s">
        <v>112</v>
      </c>
      <c r="D33" s="11">
        <v>50</v>
      </c>
      <c r="E33" s="11">
        <v>50</v>
      </c>
      <c r="F33" s="11" t="s">
        <v>32</v>
      </c>
    </row>
    <row r="34" spans="1:6" ht="15.75" customHeight="1" x14ac:dyDescent="0.2">
      <c r="A34" s="10" t="s">
        <v>60</v>
      </c>
      <c r="B34" s="10" t="s">
        <v>61</v>
      </c>
      <c r="C34" s="10" t="s">
        <v>62</v>
      </c>
      <c r="D34" s="10">
        <v>950</v>
      </c>
      <c r="E34" s="10">
        <v>25</v>
      </c>
      <c r="F34" s="10" t="s">
        <v>28</v>
      </c>
    </row>
    <row r="35" spans="1:6" ht="15.75" customHeight="1" x14ac:dyDescent="0.2">
      <c r="A35" s="11" t="s">
        <v>113</v>
      </c>
      <c r="B35" s="11" t="s">
        <v>114</v>
      </c>
      <c r="C35" s="11" t="s">
        <v>115</v>
      </c>
      <c r="D35" s="11">
        <v>100</v>
      </c>
      <c r="E35" s="11">
        <v>20</v>
      </c>
      <c r="F35" s="11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BB621-745B-4260-92EC-F73568A28130}">
  <dimension ref="A1:Q32"/>
  <sheetViews>
    <sheetView tabSelected="1" workbookViewId="0">
      <selection activeCell="J1" sqref="J1"/>
    </sheetView>
  </sheetViews>
  <sheetFormatPr defaultRowHeight="12.75" x14ac:dyDescent="0.2"/>
  <cols>
    <col min="1" max="1" width="10.85546875" bestFit="1" customWidth="1"/>
    <col min="2" max="2" width="14" bestFit="1" customWidth="1"/>
    <col min="3" max="3" width="22" bestFit="1" customWidth="1"/>
    <col min="4" max="4" width="21.5703125" bestFit="1" customWidth="1"/>
    <col min="5" max="5" width="12.28515625" bestFit="1" customWidth="1"/>
    <col min="6" max="6" width="8.42578125" bestFit="1" customWidth="1"/>
    <col min="7" max="7" width="8.5703125" bestFit="1" customWidth="1"/>
    <col min="8" max="8" width="11.28515625" bestFit="1" customWidth="1"/>
    <col min="9" max="9" width="13.7109375" bestFit="1" customWidth="1"/>
    <col min="10" max="10" width="32.85546875" bestFit="1" customWidth="1"/>
    <col min="11" max="12" width="15.5703125" customWidth="1"/>
    <col min="13" max="13" width="19" bestFit="1" customWidth="1"/>
    <col min="14" max="14" width="13.42578125" bestFit="1" customWidth="1"/>
    <col min="15" max="15" width="21.7109375" bestFit="1" customWidth="1"/>
    <col min="16" max="16" width="16.28515625" bestFit="1" customWidth="1"/>
    <col min="17" max="17" width="19" bestFit="1" customWidth="1"/>
  </cols>
  <sheetData>
    <row r="1" spans="1:17" x14ac:dyDescent="0.2">
      <c r="A1" s="12" t="s">
        <v>19</v>
      </c>
      <c r="B1" s="13" t="s">
        <v>20</v>
      </c>
      <c r="C1" s="13" t="s">
        <v>120</v>
      </c>
      <c r="D1" s="13" t="s">
        <v>119</v>
      </c>
      <c r="E1" s="12" t="s">
        <v>21</v>
      </c>
      <c r="F1" s="12" t="s">
        <v>22</v>
      </c>
      <c r="G1" s="12" t="s">
        <v>23</v>
      </c>
      <c r="H1" s="13" t="s">
        <v>24</v>
      </c>
      <c r="I1" s="13" t="s">
        <v>116</v>
      </c>
      <c r="J1" s="12" t="s">
        <v>117</v>
      </c>
      <c r="K1" s="13" t="s">
        <v>118</v>
      </c>
      <c r="L1" s="12" t="s">
        <v>19</v>
      </c>
      <c r="M1" s="13" t="s">
        <v>134</v>
      </c>
      <c r="N1" s="13" t="s">
        <v>121</v>
      </c>
      <c r="O1" s="13" t="s">
        <v>135</v>
      </c>
      <c r="P1" s="13" t="s">
        <v>136</v>
      </c>
      <c r="Q1" s="13" t="s">
        <v>134</v>
      </c>
    </row>
    <row r="2" spans="1:17" x14ac:dyDescent="0.2">
      <c r="A2" s="14" t="s">
        <v>25</v>
      </c>
      <c r="B2" s="23" t="s">
        <v>96</v>
      </c>
      <c r="C2" s="15" t="str">
        <f>IF(EXACT(B2, PROPER(B2)), "Consistent", "Inconsistent")</f>
        <v>Consistent</v>
      </c>
      <c r="D2" s="14" t="str">
        <f>PROPER(TRIM(CLEAN(B2)))</f>
        <v>Smartphone</v>
      </c>
      <c r="E2" s="14" t="s">
        <v>27</v>
      </c>
      <c r="F2" s="14">
        <v>1000</v>
      </c>
      <c r="G2" s="14">
        <v>30</v>
      </c>
      <c r="H2" s="14" t="s">
        <v>28</v>
      </c>
      <c r="I2" s="15" t="b" cm="1">
        <f t="array" ref="I2:I32">ISBLANK(F2:F32)</f>
        <v>0</v>
      </c>
      <c r="J2" s="16" t="s">
        <v>137</v>
      </c>
      <c r="K2" s="15">
        <f>IF(ISBLANK(F2),MEDIAN(F2:F32),F2)</f>
        <v>1000</v>
      </c>
      <c r="L2" s="14" t="s">
        <v>25</v>
      </c>
      <c r="M2" s="17">
        <v>46050</v>
      </c>
      <c r="N2" s="15" t="s">
        <v>122</v>
      </c>
      <c r="O2" s="15" t="str">
        <f>CONCATENATE(E2," ",B2)</f>
        <v>Dell Smartphone</v>
      </c>
      <c r="P2" s="18">
        <v>1000</v>
      </c>
      <c r="Q2" s="15" t="str">
        <f>TEXT(M2,"DD-MM-YYYY")</f>
        <v>28-01-2026</v>
      </c>
    </row>
    <row r="3" spans="1:17" x14ac:dyDescent="0.2">
      <c r="A3" s="19" t="s">
        <v>29</v>
      </c>
      <c r="B3" s="19" t="s">
        <v>30</v>
      </c>
      <c r="C3" s="15" t="str">
        <f t="shared" ref="C3:C32" si="0">IF(EXACT(B3, PROPER(B3)), "Consistent", "Inconsistent")</f>
        <v>Consistent</v>
      </c>
      <c r="D3" s="14" t="str">
        <f t="shared" ref="D3:D32" si="1">PROPER(TRIM(CLEAN(B3)))</f>
        <v>Sneakers</v>
      </c>
      <c r="E3" s="19" t="s">
        <v>31</v>
      </c>
      <c r="F3" s="19">
        <v>80</v>
      </c>
      <c r="G3" s="19">
        <v>15</v>
      </c>
      <c r="H3" s="19" t="s">
        <v>32</v>
      </c>
      <c r="I3" s="15" t="b">
        <v>0</v>
      </c>
      <c r="J3" s="20"/>
      <c r="K3" s="15">
        <f>IF(ISBLANK(F3),MEDIAN(F3:F33),F3)</f>
        <v>80</v>
      </c>
      <c r="L3" s="19" t="s">
        <v>29</v>
      </c>
      <c r="M3" s="17">
        <v>46068</v>
      </c>
      <c r="N3" s="15" t="s">
        <v>122</v>
      </c>
      <c r="O3" s="15" t="str">
        <f t="shared" ref="O3:O32" si="2">CONCATENATE(E3," ",B3)</f>
        <v>Nike Sneakers</v>
      </c>
      <c r="P3" s="21">
        <v>80</v>
      </c>
      <c r="Q3" s="15" t="str">
        <f t="shared" ref="Q3:Q32" si="3">TEXT(M3,"DD-MM-YYYY")</f>
        <v>15-02-2026</v>
      </c>
    </row>
    <row r="4" spans="1:17" x14ac:dyDescent="0.2">
      <c r="A4" s="14" t="s">
        <v>33</v>
      </c>
      <c r="B4" s="14" t="s">
        <v>34</v>
      </c>
      <c r="C4" s="15" t="str">
        <f t="shared" si="0"/>
        <v>Consistent</v>
      </c>
      <c r="D4" s="14" t="str">
        <f t="shared" si="1"/>
        <v>Coffee Maker</v>
      </c>
      <c r="E4" s="14" t="s">
        <v>35</v>
      </c>
      <c r="F4" s="14">
        <v>130</v>
      </c>
      <c r="G4" s="14">
        <v>40</v>
      </c>
      <c r="H4" s="14" t="s">
        <v>36</v>
      </c>
      <c r="I4" s="15" t="b">
        <v>0</v>
      </c>
      <c r="J4" s="20"/>
      <c r="K4" s="15">
        <f>IF(ISBLANK(F4),MEDIAN(F4:F34),F4)</f>
        <v>130</v>
      </c>
      <c r="L4" s="14" t="s">
        <v>33</v>
      </c>
      <c r="M4" s="17">
        <v>46084</v>
      </c>
      <c r="N4" s="15" t="s">
        <v>122</v>
      </c>
      <c r="O4" s="15" t="str">
        <f t="shared" si="2"/>
        <v>Keurig Coffee Maker</v>
      </c>
      <c r="P4" s="18">
        <v>130</v>
      </c>
      <c r="Q4" s="15" t="str">
        <f t="shared" si="3"/>
        <v>03-03-2026</v>
      </c>
    </row>
    <row r="5" spans="1:17" x14ac:dyDescent="0.2">
      <c r="A5" s="19" t="s">
        <v>37</v>
      </c>
      <c r="B5" s="22" t="s">
        <v>38</v>
      </c>
      <c r="C5" s="15" t="str">
        <f t="shared" si="0"/>
        <v>Inconsistent</v>
      </c>
      <c r="D5" s="14" t="str">
        <f t="shared" si="1"/>
        <v>Smartphone</v>
      </c>
      <c r="E5" s="19" t="s">
        <v>39</v>
      </c>
      <c r="F5" s="19">
        <v>900</v>
      </c>
      <c r="G5" s="19">
        <v>25</v>
      </c>
      <c r="H5" s="19" t="s">
        <v>28</v>
      </c>
      <c r="I5" s="15" t="b">
        <v>0</v>
      </c>
      <c r="J5" s="20"/>
      <c r="K5" s="15">
        <f>IF(ISBLANK(F5),MEDIAN(F5:F35),F5)</f>
        <v>900</v>
      </c>
      <c r="L5" s="19" t="s">
        <v>37</v>
      </c>
      <c r="M5" s="17">
        <v>46123</v>
      </c>
      <c r="N5" s="15" t="s">
        <v>122</v>
      </c>
      <c r="O5" s="15" t="str">
        <f t="shared" si="2"/>
        <v>Samsung smartphone</v>
      </c>
      <c r="P5" s="21">
        <v>900</v>
      </c>
      <c r="Q5" s="15" t="str">
        <f t="shared" si="3"/>
        <v>11-04-2026</v>
      </c>
    </row>
    <row r="6" spans="1:17" x14ac:dyDescent="0.2">
      <c r="A6" s="14" t="s">
        <v>40</v>
      </c>
      <c r="B6" s="14" t="s">
        <v>41</v>
      </c>
      <c r="C6" s="15" t="str">
        <f t="shared" si="0"/>
        <v>Consistent</v>
      </c>
      <c r="D6" s="14" t="str">
        <f t="shared" si="1"/>
        <v>Backpack</v>
      </c>
      <c r="E6" s="14" t="s">
        <v>42</v>
      </c>
      <c r="F6" s="14">
        <v>70</v>
      </c>
      <c r="G6" s="14">
        <v>20</v>
      </c>
      <c r="H6" s="14"/>
      <c r="I6" s="15" t="b">
        <v>0</v>
      </c>
      <c r="J6" s="20"/>
      <c r="K6" s="15">
        <f>IF(ISBLANK(F6),MEDIAN(F6:F36),F6)</f>
        <v>70</v>
      </c>
      <c r="L6" s="14" t="s">
        <v>40</v>
      </c>
      <c r="M6" s="17">
        <v>46164</v>
      </c>
      <c r="N6" s="15" t="s">
        <v>122</v>
      </c>
      <c r="O6" s="15" t="str">
        <f t="shared" si="2"/>
        <v>North Face Backpack</v>
      </c>
      <c r="P6" s="18">
        <v>70</v>
      </c>
      <c r="Q6" s="15" t="str">
        <f t="shared" si="3"/>
        <v>22-05-2026</v>
      </c>
    </row>
    <row r="7" spans="1:17" x14ac:dyDescent="0.2">
      <c r="A7" s="19" t="s">
        <v>43</v>
      </c>
      <c r="B7" s="19" t="s">
        <v>44</v>
      </c>
      <c r="C7" s="15" t="str">
        <f t="shared" si="0"/>
        <v>Consistent</v>
      </c>
      <c r="D7" s="14" t="str">
        <f t="shared" si="1"/>
        <v>Headphones</v>
      </c>
      <c r="E7" s="19" t="s">
        <v>45</v>
      </c>
      <c r="F7" s="19"/>
      <c r="G7" s="19">
        <v>45</v>
      </c>
      <c r="H7" s="22" t="s">
        <v>28</v>
      </c>
      <c r="I7" s="15" t="b">
        <v>1</v>
      </c>
      <c r="J7" s="20"/>
      <c r="K7" s="15">
        <f>IF(ISBLANK(F7),MEDIAN(F7:F37),F7)</f>
        <v>130</v>
      </c>
      <c r="L7" s="19" t="s">
        <v>43</v>
      </c>
      <c r="M7" s="17">
        <v>46180</v>
      </c>
      <c r="N7" s="15" t="s">
        <v>123</v>
      </c>
      <c r="O7" s="15" t="str">
        <f t="shared" si="2"/>
        <v>Sony Headphones</v>
      </c>
      <c r="P7" s="21"/>
      <c r="Q7" s="15" t="str">
        <f t="shared" si="3"/>
        <v>07-06-2026</v>
      </c>
    </row>
    <row r="8" spans="1:17" x14ac:dyDescent="0.2">
      <c r="A8" s="14" t="s">
        <v>47</v>
      </c>
      <c r="B8" s="14" t="s">
        <v>48</v>
      </c>
      <c r="C8" s="15" t="str">
        <f t="shared" si="0"/>
        <v>Inconsistent</v>
      </c>
      <c r="D8" s="14" t="str">
        <f t="shared" si="1"/>
        <v>T-Shirt</v>
      </c>
      <c r="E8" s="14" t="s">
        <v>49</v>
      </c>
      <c r="F8" s="14">
        <v>30</v>
      </c>
      <c r="G8" s="14">
        <v>5</v>
      </c>
      <c r="H8" s="14" t="s">
        <v>32</v>
      </c>
      <c r="I8" s="15" t="b">
        <v>0</v>
      </c>
      <c r="J8" s="20"/>
      <c r="K8" s="15">
        <f>IF(ISBLANK(F8),MEDIAN(F8:F38),F8)</f>
        <v>30</v>
      </c>
      <c r="L8" s="14" t="s">
        <v>47</v>
      </c>
      <c r="M8" s="17">
        <v>46222</v>
      </c>
      <c r="N8" s="15" t="s">
        <v>123</v>
      </c>
      <c r="O8" s="15" t="str">
        <f t="shared" si="2"/>
        <v>Adidas T-shirt</v>
      </c>
      <c r="P8" s="18">
        <v>30</v>
      </c>
      <c r="Q8" s="15" t="str">
        <f t="shared" si="3"/>
        <v>19-07-2026</v>
      </c>
    </row>
    <row r="9" spans="1:17" x14ac:dyDescent="0.2">
      <c r="A9" s="19" t="s">
        <v>50</v>
      </c>
      <c r="B9" s="19" t="s">
        <v>51</v>
      </c>
      <c r="C9" s="15" t="str">
        <f t="shared" si="0"/>
        <v>Consistent</v>
      </c>
      <c r="D9" s="14" t="str">
        <f t="shared" si="1"/>
        <v>Blender</v>
      </c>
      <c r="E9" s="19" t="s">
        <v>52</v>
      </c>
      <c r="F9" s="19">
        <v>90</v>
      </c>
      <c r="G9" s="19">
        <v>35</v>
      </c>
      <c r="H9" s="19" t="s">
        <v>36</v>
      </c>
      <c r="I9" s="15" t="b">
        <v>0</v>
      </c>
      <c r="J9" s="20"/>
      <c r="K9" s="15">
        <f>IF(ISBLANK(F9),MEDIAN(F9:F39),F9)</f>
        <v>90</v>
      </c>
      <c r="L9" s="19" t="s">
        <v>50</v>
      </c>
      <c r="M9" s="17">
        <v>46257</v>
      </c>
      <c r="N9" s="15" t="s">
        <v>123</v>
      </c>
      <c r="O9" s="15" t="str">
        <f t="shared" si="2"/>
        <v>Ninja Blender</v>
      </c>
      <c r="P9" s="21">
        <v>90</v>
      </c>
      <c r="Q9" s="15" t="str">
        <f t="shared" si="3"/>
        <v>23-08-2026</v>
      </c>
    </row>
    <row r="10" spans="1:17" x14ac:dyDescent="0.2">
      <c r="A10" s="14" t="s">
        <v>53</v>
      </c>
      <c r="B10" s="14" t="s">
        <v>54</v>
      </c>
      <c r="C10" s="15" t="str">
        <f t="shared" si="0"/>
        <v>Consistent</v>
      </c>
      <c r="D10" s="14" t="str">
        <f t="shared" si="1"/>
        <v>Tablet</v>
      </c>
      <c r="E10" s="14" t="s">
        <v>55</v>
      </c>
      <c r="F10" s="14">
        <v>500</v>
      </c>
      <c r="G10" s="14">
        <v>50</v>
      </c>
      <c r="H10" s="14" t="s">
        <v>28</v>
      </c>
      <c r="I10" s="15" t="b">
        <v>0</v>
      </c>
      <c r="J10" s="20"/>
      <c r="K10" s="15">
        <f>IF(ISBLANK(F10),MEDIAN(F10:F40),F10)</f>
        <v>500</v>
      </c>
      <c r="L10" s="14" t="s">
        <v>53</v>
      </c>
      <c r="M10" s="17">
        <v>46270</v>
      </c>
      <c r="N10" s="15" t="s">
        <v>123</v>
      </c>
      <c r="O10" s="15" t="str">
        <f t="shared" si="2"/>
        <v>Apple Tablet</v>
      </c>
      <c r="P10" s="18">
        <v>500</v>
      </c>
      <c r="Q10" s="15" t="str">
        <f t="shared" si="3"/>
        <v>05-09-2026</v>
      </c>
    </row>
    <row r="11" spans="1:17" x14ac:dyDescent="0.2">
      <c r="A11" s="19" t="s">
        <v>56</v>
      </c>
      <c r="B11" s="19" t="s">
        <v>57</v>
      </c>
      <c r="C11" s="15" t="str">
        <f t="shared" si="0"/>
        <v>Consistent</v>
      </c>
      <c r="D11" s="14" t="str">
        <f t="shared" si="1"/>
        <v>Hiking Boots</v>
      </c>
      <c r="E11" s="19" t="s">
        <v>58</v>
      </c>
      <c r="F11" s="19">
        <v>130</v>
      </c>
      <c r="G11" s="19">
        <v>10</v>
      </c>
      <c r="H11" s="19" t="s">
        <v>59</v>
      </c>
      <c r="I11" s="15" t="b">
        <v>0</v>
      </c>
      <c r="J11" s="20"/>
      <c r="K11" s="15">
        <f>IF(ISBLANK(F11),MEDIAN(F11:F41),F11)</f>
        <v>130</v>
      </c>
      <c r="L11" s="19" t="s">
        <v>56</v>
      </c>
      <c r="M11" s="17">
        <v>46309</v>
      </c>
      <c r="N11" s="15" t="s">
        <v>123</v>
      </c>
      <c r="O11" s="15" t="str">
        <f t="shared" si="2"/>
        <v>Timberland Hiking Boots</v>
      </c>
      <c r="P11" s="21">
        <v>130</v>
      </c>
      <c r="Q11" s="15" t="str">
        <f t="shared" si="3"/>
        <v>14-10-2026</v>
      </c>
    </row>
    <row r="12" spans="1:17" x14ac:dyDescent="0.2">
      <c r="A12" s="14" t="s">
        <v>60</v>
      </c>
      <c r="B12" s="14" t="s">
        <v>96</v>
      </c>
      <c r="C12" s="15" t="str">
        <f t="shared" si="0"/>
        <v>Consistent</v>
      </c>
      <c r="D12" s="14" t="str">
        <f t="shared" si="1"/>
        <v>Smartphone</v>
      </c>
      <c r="E12" s="14" t="s">
        <v>62</v>
      </c>
      <c r="F12" s="14">
        <v>950</v>
      </c>
      <c r="G12" s="14">
        <v>25</v>
      </c>
      <c r="H12" s="14" t="s">
        <v>28</v>
      </c>
      <c r="I12" s="15" t="b">
        <v>0</v>
      </c>
      <c r="J12" s="20"/>
      <c r="K12" s="15">
        <f>IF(ISBLANK(F12),MEDIAN(F12:F42),F12)</f>
        <v>950</v>
      </c>
      <c r="L12" s="14" t="s">
        <v>60</v>
      </c>
      <c r="M12" s="17">
        <v>46190</v>
      </c>
      <c r="N12" s="15" t="s">
        <v>124</v>
      </c>
      <c r="O12" s="15" t="str">
        <f t="shared" si="2"/>
        <v>HP Smartphone</v>
      </c>
      <c r="P12" s="18">
        <v>950</v>
      </c>
      <c r="Q12" s="15" t="str">
        <f t="shared" si="3"/>
        <v>17-06-2026</v>
      </c>
    </row>
    <row r="13" spans="1:17" x14ac:dyDescent="0.2">
      <c r="A13" s="19" t="s">
        <v>63</v>
      </c>
      <c r="B13" s="19" t="s">
        <v>30</v>
      </c>
      <c r="C13" s="15" t="str">
        <f t="shared" si="0"/>
        <v>Consistent</v>
      </c>
      <c r="D13" s="14" t="str">
        <f t="shared" si="1"/>
        <v>Sneakers</v>
      </c>
      <c r="E13" s="19" t="s">
        <v>49</v>
      </c>
      <c r="F13" s="19">
        <v>90</v>
      </c>
      <c r="G13" s="19">
        <v>40</v>
      </c>
      <c r="H13" s="19"/>
      <c r="I13" s="15" t="b">
        <v>0</v>
      </c>
      <c r="J13" s="20"/>
      <c r="K13" s="15">
        <f>IF(ISBLANK(F13),MEDIAN(F13:F43),F13)</f>
        <v>90</v>
      </c>
      <c r="L13" s="19" t="s">
        <v>63</v>
      </c>
      <c r="M13" s="17">
        <v>46351</v>
      </c>
      <c r="N13" s="15" t="s">
        <v>125</v>
      </c>
      <c r="O13" s="15" t="str">
        <f t="shared" si="2"/>
        <v>Adidas Sneakers</v>
      </c>
      <c r="P13" s="21">
        <v>90</v>
      </c>
      <c r="Q13" s="15" t="str">
        <f t="shared" si="3"/>
        <v>25-11-2026</v>
      </c>
    </row>
    <row r="14" spans="1:17" x14ac:dyDescent="0.2">
      <c r="A14" s="14" t="s">
        <v>64</v>
      </c>
      <c r="B14" s="14" t="s">
        <v>34</v>
      </c>
      <c r="C14" s="15" t="str">
        <f t="shared" si="0"/>
        <v>Consistent</v>
      </c>
      <c r="D14" s="14" t="str">
        <f t="shared" si="1"/>
        <v>Coffee Maker</v>
      </c>
      <c r="E14" s="14" t="s">
        <v>65</v>
      </c>
      <c r="F14" s="14">
        <v>120</v>
      </c>
      <c r="G14" s="14">
        <v>35</v>
      </c>
      <c r="H14" s="14"/>
      <c r="I14" s="15" t="b">
        <v>0</v>
      </c>
      <c r="J14" s="20"/>
      <c r="K14" s="15">
        <f>IF(ISBLANK(F14),MEDIAN(F14:F44),F14)</f>
        <v>120</v>
      </c>
      <c r="L14" s="14" t="s">
        <v>64</v>
      </c>
      <c r="M14" s="17">
        <v>46364</v>
      </c>
      <c r="N14" s="15" t="s">
        <v>126</v>
      </c>
      <c r="O14" s="15" t="str">
        <f t="shared" si="2"/>
        <v>Nespresso Coffee Maker</v>
      </c>
      <c r="P14" s="18">
        <v>120</v>
      </c>
      <c r="Q14" s="15" t="str">
        <f t="shared" si="3"/>
        <v>08-12-2026</v>
      </c>
    </row>
    <row r="15" spans="1:17" x14ac:dyDescent="0.2">
      <c r="A15" s="19" t="s">
        <v>66</v>
      </c>
      <c r="B15" s="19" t="s">
        <v>67</v>
      </c>
      <c r="C15" s="15" t="str">
        <f t="shared" si="0"/>
        <v>Consistent</v>
      </c>
      <c r="D15" s="14" t="str">
        <f t="shared" si="1"/>
        <v>Smartwatch</v>
      </c>
      <c r="E15" s="19" t="s">
        <v>68</v>
      </c>
      <c r="F15" s="19">
        <v>150</v>
      </c>
      <c r="G15" s="19">
        <v>15</v>
      </c>
      <c r="H15" s="19" t="s">
        <v>28</v>
      </c>
      <c r="I15" s="15" t="b">
        <v>0</v>
      </c>
      <c r="J15" s="20"/>
      <c r="K15" s="15">
        <f>IF(ISBLANK(F15),MEDIAN(F15:F45),F15)</f>
        <v>150</v>
      </c>
      <c r="L15" s="19" t="s">
        <v>66</v>
      </c>
      <c r="M15" s="17">
        <v>46071</v>
      </c>
      <c r="N15" s="15" t="s">
        <v>127</v>
      </c>
      <c r="O15" s="15" t="str">
        <f t="shared" si="2"/>
        <v>Fitbit Smartwatch</v>
      </c>
      <c r="P15" s="21">
        <v>150</v>
      </c>
      <c r="Q15" s="15" t="str">
        <f t="shared" si="3"/>
        <v>18-02-2026</v>
      </c>
    </row>
    <row r="16" spans="1:17" x14ac:dyDescent="0.2">
      <c r="A16" s="14" t="s">
        <v>69</v>
      </c>
      <c r="B16" s="23" t="s">
        <v>44</v>
      </c>
      <c r="C16" s="15" t="str">
        <f t="shared" si="0"/>
        <v>Consistent</v>
      </c>
      <c r="D16" s="14" t="str">
        <f t="shared" si="1"/>
        <v>Headphones</v>
      </c>
      <c r="E16" s="14" t="s">
        <v>71</v>
      </c>
      <c r="F16" s="14">
        <v>250</v>
      </c>
      <c r="G16" s="14">
        <v>20</v>
      </c>
      <c r="H16" s="14" t="s">
        <v>28</v>
      </c>
      <c r="I16" s="15" t="b">
        <v>0</v>
      </c>
      <c r="J16" s="20"/>
      <c r="K16" s="15">
        <f>IF(ISBLANK(F16),MEDIAN(F16:F46),F16)</f>
        <v>250</v>
      </c>
      <c r="L16" s="14" t="s">
        <v>69</v>
      </c>
      <c r="M16" s="17">
        <v>46128</v>
      </c>
      <c r="N16" s="15" t="s">
        <v>128</v>
      </c>
      <c r="O16" s="15" t="str">
        <f t="shared" si="2"/>
        <v>Bose Headphones</v>
      </c>
      <c r="P16" s="18">
        <v>250</v>
      </c>
      <c r="Q16" s="15" t="str">
        <f t="shared" si="3"/>
        <v>16-04-2026</v>
      </c>
    </row>
    <row r="17" spans="1:17" x14ac:dyDescent="0.2">
      <c r="A17" s="14" t="s">
        <v>76</v>
      </c>
      <c r="B17" s="14" t="s">
        <v>67</v>
      </c>
      <c r="C17" s="15" t="str">
        <f t="shared" si="0"/>
        <v>Consistent</v>
      </c>
      <c r="D17" s="14" t="str">
        <f t="shared" si="1"/>
        <v>Smartwatch</v>
      </c>
      <c r="E17" s="14" t="s">
        <v>77</v>
      </c>
      <c r="F17" s="14">
        <v>160</v>
      </c>
      <c r="G17" s="14">
        <v>15</v>
      </c>
      <c r="H17" s="14" t="s">
        <v>28</v>
      </c>
      <c r="I17" s="15" t="b">
        <v>0</v>
      </c>
      <c r="J17" s="20"/>
      <c r="K17" s="15">
        <f>IF(ISBLANK(F17),MEDIAN(F17:F48),F17)</f>
        <v>160</v>
      </c>
      <c r="L17" s="14" t="s">
        <v>76</v>
      </c>
      <c r="M17" s="17">
        <v>46254</v>
      </c>
      <c r="N17" s="15" t="s">
        <v>129</v>
      </c>
      <c r="O17" s="15" t="str">
        <f t="shared" si="2"/>
        <v>Huawei Smartwatch</v>
      </c>
      <c r="P17" s="18">
        <v>160</v>
      </c>
      <c r="Q17" s="15" t="str">
        <f t="shared" si="3"/>
        <v>20-08-2026</v>
      </c>
    </row>
    <row r="18" spans="1:17" x14ac:dyDescent="0.2">
      <c r="A18" s="19" t="s">
        <v>78</v>
      </c>
      <c r="B18" s="19" t="s">
        <v>96</v>
      </c>
      <c r="C18" s="15" t="str">
        <f t="shared" si="0"/>
        <v>Consistent</v>
      </c>
      <c r="D18" s="14" t="str">
        <f t="shared" si="1"/>
        <v>Smartphone</v>
      </c>
      <c r="E18" s="19" t="s">
        <v>79</v>
      </c>
      <c r="F18" s="19">
        <v>980</v>
      </c>
      <c r="G18" s="19">
        <v>10</v>
      </c>
      <c r="H18" s="19" t="s">
        <v>28</v>
      </c>
      <c r="I18" s="15" t="b">
        <v>0</v>
      </c>
      <c r="J18" s="20"/>
      <c r="K18" s="15">
        <f>IF(ISBLANK(F18),MEDIAN(F18:F49),F18)</f>
        <v>980</v>
      </c>
      <c r="L18" s="19" t="s">
        <v>78</v>
      </c>
      <c r="M18" s="17">
        <v>46049</v>
      </c>
      <c r="N18" s="15" t="s">
        <v>130</v>
      </c>
      <c r="O18" s="15" t="str">
        <f t="shared" si="2"/>
        <v>Asus Smartphone</v>
      </c>
      <c r="P18" s="21">
        <v>980</v>
      </c>
      <c r="Q18" s="15" t="str">
        <f t="shared" si="3"/>
        <v>27-01-2026</v>
      </c>
    </row>
    <row r="19" spans="1:17" x14ac:dyDescent="0.2">
      <c r="A19" s="14" t="s">
        <v>80</v>
      </c>
      <c r="B19" s="14" t="s">
        <v>81</v>
      </c>
      <c r="C19" s="15" t="str">
        <f t="shared" si="0"/>
        <v>Consistent</v>
      </c>
      <c r="D19" s="14" t="str">
        <f t="shared" si="1"/>
        <v>Sunglasses</v>
      </c>
      <c r="E19" s="14" t="s">
        <v>82</v>
      </c>
      <c r="F19" s="14">
        <v>150</v>
      </c>
      <c r="G19" s="14">
        <v>15</v>
      </c>
      <c r="H19" s="14" t="s">
        <v>32</v>
      </c>
      <c r="I19" s="15" t="b">
        <v>0</v>
      </c>
      <c r="J19" s="20"/>
      <c r="K19" s="15">
        <f>IF(ISBLANK(F19),MEDIAN(F19:F50),F19)</f>
        <v>150</v>
      </c>
      <c r="L19" s="14" t="s">
        <v>80</v>
      </c>
      <c r="M19" s="17">
        <v>46082</v>
      </c>
      <c r="N19" s="15" t="s">
        <v>123</v>
      </c>
      <c r="O19" s="15" t="str">
        <f t="shared" si="2"/>
        <v>Oakley Sunglasses</v>
      </c>
      <c r="P19" s="18">
        <v>150</v>
      </c>
      <c r="Q19" s="15" t="str">
        <f t="shared" si="3"/>
        <v>01-03-2026</v>
      </c>
    </row>
    <row r="20" spans="1:17" x14ac:dyDescent="0.2">
      <c r="A20" s="19" t="s">
        <v>83</v>
      </c>
      <c r="B20" s="19" t="s">
        <v>84</v>
      </c>
      <c r="C20" s="15" t="str">
        <f t="shared" si="0"/>
        <v>Consistent</v>
      </c>
      <c r="D20" s="14" t="str">
        <f t="shared" si="1"/>
        <v>Camping Tent</v>
      </c>
      <c r="E20" s="19" t="s">
        <v>85</v>
      </c>
      <c r="F20" s="19"/>
      <c r="G20" s="19">
        <v>10</v>
      </c>
      <c r="H20" s="19" t="s">
        <v>59</v>
      </c>
      <c r="I20" s="15" t="b">
        <v>1</v>
      </c>
      <c r="J20" s="20"/>
      <c r="K20" s="15">
        <f>IF(ISBLANK(F20),MEDIAN(F20:F51),F20)</f>
        <v>100</v>
      </c>
      <c r="L20" s="19" t="s">
        <v>83</v>
      </c>
      <c r="M20" s="17">
        <v>46248</v>
      </c>
      <c r="N20" s="15" t="s">
        <v>122</v>
      </c>
      <c r="O20" s="15" t="str">
        <f t="shared" si="2"/>
        <v>Coleman Camping Tent</v>
      </c>
      <c r="P20" s="21"/>
      <c r="Q20" s="15" t="str">
        <f t="shared" si="3"/>
        <v>14-08-2026</v>
      </c>
    </row>
    <row r="21" spans="1:17" x14ac:dyDescent="0.2">
      <c r="A21" s="14" t="s">
        <v>86</v>
      </c>
      <c r="B21" s="14" t="s">
        <v>87</v>
      </c>
      <c r="C21" s="15" t="str">
        <f t="shared" si="0"/>
        <v>Consistent</v>
      </c>
      <c r="D21" s="14" t="str">
        <f t="shared" si="1"/>
        <v>Camera</v>
      </c>
      <c r="E21" s="14" t="s">
        <v>88</v>
      </c>
      <c r="F21" s="14">
        <v>700</v>
      </c>
      <c r="G21" s="14">
        <v>50</v>
      </c>
      <c r="H21" s="14" t="s">
        <v>28</v>
      </c>
      <c r="I21" s="15" t="b">
        <v>0</v>
      </c>
      <c r="J21" s="20"/>
      <c r="K21" s="15">
        <f>IF(ISBLANK(F21),MEDIAN(F21:F52),F21)</f>
        <v>700</v>
      </c>
      <c r="L21" s="14" t="s">
        <v>86</v>
      </c>
      <c r="M21" s="17">
        <v>46156</v>
      </c>
      <c r="N21" s="15" t="s">
        <v>131</v>
      </c>
      <c r="O21" s="15" t="str">
        <f t="shared" si="2"/>
        <v>Nikon Camera</v>
      </c>
      <c r="P21" s="18">
        <v>700</v>
      </c>
      <c r="Q21" s="15" t="str">
        <f t="shared" si="3"/>
        <v>14-05-2026</v>
      </c>
    </row>
    <row r="22" spans="1:17" x14ac:dyDescent="0.2">
      <c r="A22" s="19" t="s">
        <v>89</v>
      </c>
      <c r="B22" s="19" t="s">
        <v>90</v>
      </c>
      <c r="C22" s="15" t="str">
        <f t="shared" si="0"/>
        <v>Consistent</v>
      </c>
      <c r="D22" s="14" t="str">
        <f t="shared" si="1"/>
        <v>Microwave</v>
      </c>
      <c r="E22" s="19" t="s">
        <v>91</v>
      </c>
      <c r="F22" s="19">
        <v>80</v>
      </c>
      <c r="G22" s="19">
        <v>20</v>
      </c>
      <c r="H22" s="19" t="s">
        <v>36</v>
      </c>
      <c r="I22" s="15" t="b">
        <v>0</v>
      </c>
      <c r="J22" s="20"/>
      <c r="K22" s="15">
        <f>IF(ISBLANK(F22),MEDIAN(F22:F53),F22)</f>
        <v>80</v>
      </c>
      <c r="L22" s="19" t="s">
        <v>89</v>
      </c>
      <c r="M22" s="17">
        <v>46031</v>
      </c>
      <c r="N22" s="15" t="s">
        <v>127</v>
      </c>
      <c r="O22" s="15" t="str">
        <f t="shared" si="2"/>
        <v>Panasonic Microwave</v>
      </c>
      <c r="P22" s="21">
        <v>80</v>
      </c>
      <c r="Q22" s="15" t="str">
        <f t="shared" si="3"/>
        <v>09-01-2026</v>
      </c>
    </row>
    <row r="23" spans="1:17" x14ac:dyDescent="0.2">
      <c r="A23" s="14" t="s">
        <v>92</v>
      </c>
      <c r="B23" s="14" t="s">
        <v>93</v>
      </c>
      <c r="C23" s="15" t="str">
        <f t="shared" si="0"/>
        <v>Consistent</v>
      </c>
      <c r="D23" s="14" t="str">
        <f t="shared" si="1"/>
        <v>Fitness Tracker</v>
      </c>
      <c r="E23" s="14" t="s">
        <v>94</v>
      </c>
      <c r="F23" s="14">
        <v>150</v>
      </c>
      <c r="G23" s="14">
        <v>30</v>
      </c>
      <c r="H23" s="14"/>
      <c r="I23" s="15" t="b">
        <v>0</v>
      </c>
      <c r="J23" s="20"/>
      <c r="K23" s="15">
        <f>IF(ISBLANK(F23),MEDIAN(F23:F54),F23)</f>
        <v>150</v>
      </c>
      <c r="L23" s="14" t="s">
        <v>92</v>
      </c>
      <c r="M23" s="17">
        <v>46222</v>
      </c>
      <c r="N23" s="15" t="s">
        <v>132</v>
      </c>
      <c r="O23" s="15" t="str">
        <f t="shared" si="2"/>
        <v>Xiaomi Fitness Tracker</v>
      </c>
      <c r="P23" s="18">
        <v>150</v>
      </c>
      <c r="Q23" s="15" t="str">
        <f t="shared" si="3"/>
        <v>19-07-2026</v>
      </c>
    </row>
    <row r="24" spans="1:17" x14ac:dyDescent="0.2">
      <c r="A24" s="19" t="s">
        <v>72</v>
      </c>
      <c r="B24" s="19" t="s">
        <v>73</v>
      </c>
      <c r="C24" s="15" t="str">
        <f t="shared" si="0"/>
        <v>Consistent</v>
      </c>
      <c r="D24" s="14" t="str">
        <f t="shared" si="1"/>
        <v>Laptop Bag</v>
      </c>
      <c r="E24" s="19" t="s">
        <v>74</v>
      </c>
      <c r="F24" s="19">
        <v>50</v>
      </c>
      <c r="G24" s="19">
        <v>35</v>
      </c>
      <c r="H24" s="19" t="s">
        <v>75</v>
      </c>
      <c r="I24" s="15" t="b">
        <v>0</v>
      </c>
      <c r="J24" s="20"/>
      <c r="K24" s="15">
        <f>IF(ISBLANK(F24),MEDIAN(F24:F55),F24)</f>
        <v>50</v>
      </c>
      <c r="L24" s="19" t="s">
        <v>72</v>
      </c>
      <c r="M24" s="17">
        <v>46255</v>
      </c>
      <c r="N24" s="15" t="s">
        <v>127</v>
      </c>
      <c r="O24" s="15" t="str">
        <f t="shared" si="2"/>
        <v>Samsonite Laptop Bag</v>
      </c>
      <c r="P24" s="21">
        <v>50</v>
      </c>
      <c r="Q24" s="15" t="str">
        <f t="shared" si="3"/>
        <v>21-08-2026</v>
      </c>
    </row>
    <row r="25" spans="1:17" x14ac:dyDescent="0.2">
      <c r="A25" s="14" t="s">
        <v>95</v>
      </c>
      <c r="B25" s="14" t="s">
        <v>96</v>
      </c>
      <c r="C25" s="15" t="str">
        <f t="shared" si="0"/>
        <v>Consistent</v>
      </c>
      <c r="D25" s="14" t="str">
        <f t="shared" si="1"/>
        <v>Smartphone</v>
      </c>
      <c r="E25" s="14" t="s">
        <v>97</v>
      </c>
      <c r="F25" s="14">
        <v>800</v>
      </c>
      <c r="G25" s="14">
        <v>45</v>
      </c>
      <c r="H25" s="14" t="s">
        <v>28</v>
      </c>
      <c r="I25" s="15" t="b">
        <v>0</v>
      </c>
      <c r="J25" s="20"/>
      <c r="K25" s="15">
        <f>IF(ISBLANK(F25),MEDIAN(F25:F56),F25)</f>
        <v>800</v>
      </c>
      <c r="L25" s="14" t="s">
        <v>95</v>
      </c>
      <c r="M25" s="17">
        <v>46294</v>
      </c>
      <c r="N25" s="15" t="s">
        <v>127</v>
      </c>
      <c r="O25" s="15" t="str">
        <f t="shared" si="2"/>
        <v>Google Smartphone</v>
      </c>
      <c r="P25" s="18">
        <v>800</v>
      </c>
      <c r="Q25" s="15" t="str">
        <f t="shared" si="3"/>
        <v>29-09-2026</v>
      </c>
    </row>
    <row r="26" spans="1:17" x14ac:dyDescent="0.2">
      <c r="A26" s="19" t="s">
        <v>98</v>
      </c>
      <c r="B26" s="19" t="s">
        <v>81</v>
      </c>
      <c r="C26" s="15" t="str">
        <f t="shared" si="0"/>
        <v>Consistent</v>
      </c>
      <c r="D26" s="14" t="str">
        <f t="shared" si="1"/>
        <v>Sunglasses</v>
      </c>
      <c r="E26" s="19" t="s">
        <v>99</v>
      </c>
      <c r="F26" s="19"/>
      <c r="G26" s="19">
        <v>25</v>
      </c>
      <c r="H26" s="19" t="s">
        <v>32</v>
      </c>
      <c r="I26" s="15" t="b">
        <v>1</v>
      </c>
      <c r="J26" s="20"/>
      <c r="K26" s="15">
        <f>IF(ISBLANK(F26),MEDIAN(F26:F57),F26)</f>
        <v>80</v>
      </c>
      <c r="L26" s="19" t="s">
        <v>98</v>
      </c>
      <c r="M26" s="17">
        <v>46176</v>
      </c>
      <c r="N26" s="15" t="s">
        <v>127</v>
      </c>
      <c r="O26" s="15" t="str">
        <f t="shared" si="2"/>
        <v>Ray-Ban Sunglasses</v>
      </c>
      <c r="P26" s="21"/>
      <c r="Q26" s="15" t="str">
        <f t="shared" si="3"/>
        <v>03-06-2026</v>
      </c>
    </row>
    <row r="27" spans="1:17" x14ac:dyDescent="0.2">
      <c r="A27" s="14" t="s">
        <v>100</v>
      </c>
      <c r="B27" s="14" t="s">
        <v>51</v>
      </c>
      <c r="C27" s="15" t="str">
        <f t="shared" si="0"/>
        <v>Consistent</v>
      </c>
      <c r="D27" s="14" t="str">
        <f t="shared" si="1"/>
        <v>Blender</v>
      </c>
      <c r="E27" s="14" t="s">
        <v>101</v>
      </c>
      <c r="F27" s="14">
        <v>400</v>
      </c>
      <c r="G27" s="14">
        <v>40</v>
      </c>
      <c r="H27" s="14" t="s">
        <v>36</v>
      </c>
      <c r="I27" s="15" t="b">
        <v>0</v>
      </c>
      <c r="J27" s="20"/>
      <c r="K27" s="15">
        <f>IF(ISBLANK(F27),MEDIAN(F27:F58),F27)</f>
        <v>400</v>
      </c>
      <c r="L27" s="14" t="s">
        <v>100</v>
      </c>
      <c r="M27" s="17">
        <v>46214</v>
      </c>
      <c r="N27" s="15" t="s">
        <v>127</v>
      </c>
      <c r="O27" s="15" t="str">
        <f t="shared" si="2"/>
        <v>Vitamix Blender</v>
      </c>
      <c r="P27" s="18">
        <v>400</v>
      </c>
      <c r="Q27" s="15" t="str">
        <f t="shared" si="3"/>
        <v>11-07-2026</v>
      </c>
    </row>
    <row r="28" spans="1:17" x14ac:dyDescent="0.2">
      <c r="A28" s="14" t="s">
        <v>102</v>
      </c>
      <c r="B28" s="14" t="s">
        <v>103</v>
      </c>
      <c r="C28" s="15" t="str">
        <f t="shared" si="0"/>
        <v>Consistent</v>
      </c>
      <c r="D28" s="14" t="str">
        <f t="shared" si="1"/>
        <v>Dress</v>
      </c>
      <c r="E28" s="14" t="s">
        <v>104</v>
      </c>
      <c r="F28" s="14">
        <v>60</v>
      </c>
      <c r="G28" s="14">
        <v>30</v>
      </c>
      <c r="H28" s="14" t="s">
        <v>32</v>
      </c>
      <c r="I28" s="15" t="b">
        <v>0</v>
      </c>
      <c r="J28" s="20"/>
      <c r="K28" s="15">
        <f>IF(ISBLANK(F28),MEDIAN(F28:F60),F28)</f>
        <v>60</v>
      </c>
      <c r="L28" s="14" t="s">
        <v>102</v>
      </c>
      <c r="M28" s="17">
        <v>46088</v>
      </c>
      <c r="N28" s="15" t="s">
        <v>127</v>
      </c>
      <c r="O28" s="15" t="str">
        <f t="shared" si="2"/>
        <v>Zara Dress</v>
      </c>
      <c r="P28" s="18">
        <v>60</v>
      </c>
      <c r="Q28" s="15" t="str">
        <f t="shared" si="3"/>
        <v>07-03-2026</v>
      </c>
    </row>
    <row r="29" spans="1:17" x14ac:dyDescent="0.2">
      <c r="A29" s="19" t="s">
        <v>105</v>
      </c>
      <c r="B29" s="19" t="s">
        <v>106</v>
      </c>
      <c r="C29" s="15" t="str">
        <f t="shared" si="0"/>
        <v>Consistent</v>
      </c>
      <c r="D29" s="14" t="str">
        <f t="shared" si="1"/>
        <v>Toaster</v>
      </c>
      <c r="E29" s="19" t="s">
        <v>107</v>
      </c>
      <c r="F29" s="19">
        <v>40</v>
      </c>
      <c r="G29" s="19">
        <v>10</v>
      </c>
      <c r="H29" s="19" t="s">
        <v>36</v>
      </c>
      <c r="I29" s="15" t="b">
        <v>0</v>
      </c>
      <c r="J29" s="20"/>
      <c r="K29" s="15">
        <f>IF(ISBLANK(F29),MEDIAN(F29:F61),F29)</f>
        <v>40</v>
      </c>
      <c r="L29" s="19" t="s">
        <v>105</v>
      </c>
      <c r="M29" s="17">
        <v>46125</v>
      </c>
      <c r="N29" s="15" t="s">
        <v>127</v>
      </c>
      <c r="O29" s="15" t="str">
        <f t="shared" si="2"/>
        <v>Hamilton Toaster</v>
      </c>
      <c r="P29" s="21">
        <v>40</v>
      </c>
      <c r="Q29" s="15" t="str">
        <f t="shared" si="3"/>
        <v>13-04-2026</v>
      </c>
    </row>
    <row r="30" spans="1:17" x14ac:dyDescent="0.2">
      <c r="A30" s="14" t="s">
        <v>108</v>
      </c>
      <c r="B30" s="14" t="s">
        <v>93</v>
      </c>
      <c r="C30" s="15" t="str">
        <f t="shared" si="0"/>
        <v>Consistent</v>
      </c>
      <c r="D30" s="14" t="str">
        <f t="shared" si="1"/>
        <v>Fitness Tracker</v>
      </c>
      <c r="E30" s="14" t="s">
        <v>109</v>
      </c>
      <c r="F30" s="14">
        <v>130</v>
      </c>
      <c r="G30" s="14">
        <v>5</v>
      </c>
      <c r="H30" s="14" t="s">
        <v>28</v>
      </c>
      <c r="I30" s="15" t="b">
        <v>0</v>
      </c>
      <c r="J30" s="20"/>
      <c r="K30" s="15">
        <f>IF(ISBLANK(F30),MEDIAN(F30:F62),F30)</f>
        <v>130</v>
      </c>
      <c r="L30" s="14" t="s">
        <v>108</v>
      </c>
      <c r="M30" s="17">
        <v>46166</v>
      </c>
      <c r="N30" s="15" t="s">
        <v>127</v>
      </c>
      <c r="O30" s="15" t="str">
        <f t="shared" si="2"/>
        <v>Garmin Fitness Tracker</v>
      </c>
      <c r="P30" s="18">
        <v>130</v>
      </c>
      <c r="Q30" s="15" t="str">
        <f t="shared" si="3"/>
        <v>24-05-2026</v>
      </c>
    </row>
    <row r="31" spans="1:17" x14ac:dyDescent="0.2">
      <c r="A31" s="19" t="s">
        <v>110</v>
      </c>
      <c r="B31" s="19" t="s">
        <v>111</v>
      </c>
      <c r="C31" s="15" t="str">
        <f t="shared" si="0"/>
        <v>Consistent</v>
      </c>
      <c r="D31" s="14" t="str">
        <f t="shared" si="1"/>
        <v>Jeans</v>
      </c>
      <c r="E31" s="19" t="s">
        <v>112</v>
      </c>
      <c r="F31" s="19">
        <v>50</v>
      </c>
      <c r="G31" s="19">
        <v>50</v>
      </c>
      <c r="H31" s="19" t="s">
        <v>32</v>
      </c>
      <c r="I31" s="15" t="b">
        <v>0</v>
      </c>
      <c r="J31" s="20"/>
      <c r="K31" s="15">
        <f>IF(ISBLANK(F31),MEDIAN(F31:F63),F31)</f>
        <v>50</v>
      </c>
      <c r="L31" s="19" t="s">
        <v>110</v>
      </c>
      <c r="M31" s="17">
        <v>46358</v>
      </c>
      <c r="N31" s="15" t="s">
        <v>127</v>
      </c>
      <c r="O31" s="15" t="str">
        <f t="shared" si="2"/>
        <v>Levi's Jeans</v>
      </c>
      <c r="P31" s="21">
        <v>50</v>
      </c>
      <c r="Q31" s="15" t="str">
        <f t="shared" si="3"/>
        <v>02-12-2026</v>
      </c>
    </row>
    <row r="32" spans="1:17" x14ac:dyDescent="0.2">
      <c r="A32" s="19" t="s">
        <v>113</v>
      </c>
      <c r="B32" s="19" t="s">
        <v>114</v>
      </c>
      <c r="C32" s="15" t="str">
        <f t="shared" si="0"/>
        <v>Consistent</v>
      </c>
      <c r="D32" s="14" t="str">
        <f t="shared" si="1"/>
        <v>Watch</v>
      </c>
      <c r="E32" s="19" t="s">
        <v>115</v>
      </c>
      <c r="F32" s="19">
        <v>100</v>
      </c>
      <c r="G32" s="19">
        <v>20</v>
      </c>
      <c r="H32" s="19" t="s">
        <v>75</v>
      </c>
      <c r="I32" s="15" t="b">
        <v>0</v>
      </c>
      <c r="J32" s="20"/>
      <c r="K32" s="15">
        <f t="shared" ref="K32" si="4">IF(ISBLANK(F32),MEDIAN(F32:F65),F32)</f>
        <v>100</v>
      </c>
      <c r="L32" s="19" t="s">
        <v>113</v>
      </c>
      <c r="M32" s="17">
        <v>46212</v>
      </c>
      <c r="N32" s="15" t="s">
        <v>133</v>
      </c>
      <c r="O32" s="15" t="str">
        <f t="shared" si="2"/>
        <v>Casio Watch</v>
      </c>
      <c r="P32" s="21">
        <v>100</v>
      </c>
      <c r="Q32" s="15" t="str">
        <f t="shared" si="3"/>
        <v>09-07-2026</v>
      </c>
    </row>
  </sheetData>
  <mergeCells count="1">
    <mergeCell ref="J2:J32"/>
  </mergeCells>
  <conditionalFormatting sqref="A2:A32">
    <cfRule type="duplicateValues" dxfId="4" priority="7"/>
  </conditionalFormatting>
  <conditionalFormatting sqref="L2:L32">
    <cfRule type="duplicateValues" dxfId="3" priority="3"/>
  </conditionalFormatting>
  <conditionalFormatting sqref="F2:F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{E54EAC03-76B7-47F5-8CFC-3E2DA3F608DC}</x14:id>
        </ext>
      </extLst>
    </cfRule>
  </conditionalFormatting>
  <conditionalFormatting sqref="H2:H32">
    <cfRule type="cellIs" dxfId="0" priority="1" operator="equal">
      <formula>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4EAC03-76B7-47F5-8CFC-3E2DA3F608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2026-10-22T11:35:40Z</dcterms:created>
  <dcterms:modified xsi:type="dcterms:W3CDTF">2026-10-22T11:36:33Z</dcterms:modified>
</cp:coreProperties>
</file>